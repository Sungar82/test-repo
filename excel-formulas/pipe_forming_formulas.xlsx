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 Formulas" sheetId="1" state="visible" r:id="rId1"/>
    <sheet xmlns:r="http://schemas.openxmlformats.org/officeDocument/2006/relationships" name="Source Notes" sheetId="2" state="visible" r:id="rId2"/>
  </sheets>
  <definedNames>
    <definedName name="_xlnm._FilterDatabase" localSheetId="0" hidden="1">'Pipe Formulas'!$A$4:$C$12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  <font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5B9BD5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2" fillId="4" borderId="1" applyAlignment="1" pivotButton="0" quotePrefix="0" xfId="0">
      <alignment wrapText="1"/>
    </xf>
    <xf numFmtId="0" fontId="0" fillId="0" borderId="1" pivotButton="0" quotePrefix="0" xfId="0"/>
    <xf numFmtId="164" fontId="0" fillId="5" borderId="1" pivotButton="0" quotePrefix="0" xfId="0"/>
    <xf numFmtId="0" fontId="2" fillId="3" borderId="1" pivotButton="0" quotePrefix="0" xfId="0"/>
    <xf numFmtId="0" fontId="0" fillId="3" borderId="1" pivotButton="0" quotePrefix="0" xfId="0"/>
    <xf numFmtId="164" fontId="0" fillId="6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pivotButton="0" quotePrefix="0" xfId="0"/>
    <xf numFmtId="0" fontId="3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B5" authorId="0" shapeId="0">
      <text>
        <t>B: steel strip working width, from the source PDF.</t>
      </text>
    </comment>
    <comment ref="B6" authorId="0" shapeId="0">
      <text>
        <t>D: pipe outside diameter, from the source PDF.</t>
      </text>
    </comment>
    <comment ref="B7" authorId="0" shapeId="0">
      <text>
        <t>t: wall thickness, from the source PDF.</t>
      </text>
    </comment>
    <comment ref="B8" authorId="0" shapeId="0">
      <text>
        <t>H = 590 mm is the source reference value; change only if appropriate for the machine setup.</t>
      </text>
    </comment>
    <comment ref="B9" authorId="0" shapeId="0">
      <text>
        <t>R = 85 mm is the source reference value.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48" customWidth="1" min="3" max="3"/>
    <col width="14" customWidth="1" min="4" max="4"/>
  </cols>
  <sheetData>
    <row r="1" ht="28" customHeight="1">
      <c r="A1" s="1" t="inlineStr">
        <is>
          <t>Huayou Pipe-Forming Calculations</t>
        </is>
      </c>
    </row>
    <row r="3">
      <c r="A3" s="2" t="inlineStr">
        <is>
          <t>INPUTS</t>
        </is>
      </c>
      <c r="B3" s="3" t="n"/>
      <c r="C3" s="3" t="n"/>
    </row>
    <row r="4">
      <c r="A4" s="4" t="inlineStr">
        <is>
          <t>Parameter</t>
        </is>
      </c>
      <c r="B4" s="4" t="inlineStr">
        <is>
          <t>Value</t>
        </is>
      </c>
      <c r="C4" s="4" t="inlineStr">
        <is>
          <t>Units / meaning</t>
        </is>
      </c>
    </row>
    <row r="5">
      <c r="A5" s="5" t="inlineStr">
        <is>
          <t>B</t>
        </is>
      </c>
      <c r="B5" s="6" t="n"/>
      <c r="C5" s="5" t="inlineStr">
        <is>
          <t>mm — strip working width</t>
        </is>
      </c>
    </row>
    <row r="6">
      <c r="A6" s="5" t="inlineStr">
        <is>
          <t>D</t>
        </is>
      </c>
      <c r="B6" s="6" t="n"/>
      <c r="C6" s="5" t="inlineStr">
        <is>
          <t>mm — pipe outside diameter</t>
        </is>
      </c>
    </row>
    <row r="7">
      <c r="A7" s="5" t="inlineStr">
        <is>
          <t>t</t>
        </is>
      </c>
      <c r="B7" s="6" t="n"/>
      <c r="C7" s="5" t="inlineStr">
        <is>
          <t>mm — wall thickness</t>
        </is>
      </c>
    </row>
    <row r="8">
      <c r="A8" s="5" t="inlineStr">
        <is>
          <t>H</t>
        </is>
      </c>
      <c r="B8" s="6" t="n">
        <v>590</v>
      </c>
      <c r="C8" s="5" t="inlineStr">
        <is>
          <t>mm — pipe lower-surface reference height (source default)</t>
        </is>
      </c>
    </row>
    <row r="9">
      <c r="A9" s="5" t="inlineStr">
        <is>
          <t>R</t>
        </is>
      </c>
      <c r="B9" s="6" t="n">
        <v>85</v>
      </c>
      <c r="C9" s="5" t="inlineStr">
        <is>
          <t>mm — forming-roll radius (source default)</t>
        </is>
      </c>
    </row>
    <row r="10">
      <c r="A10" s="5" t="inlineStr">
        <is>
          <t>Δmax</t>
        </is>
      </c>
      <c r="B10" s="6" t="n"/>
      <c r="C10" s="5" t="inlineStr">
        <is>
          <t>mm — maximum OD deviation</t>
        </is>
      </c>
    </row>
    <row r="11">
      <c r="A11" s="5" t="inlineStr">
        <is>
          <t>Δmin</t>
        </is>
      </c>
      <c r="B11" s="6" t="n"/>
      <c r="C11" s="5" t="inlineStr">
        <is>
          <t>mm — minimum OD deviation</t>
        </is>
      </c>
    </row>
    <row r="12">
      <c r="A12" s="5" t="inlineStr">
        <is>
          <t>Vweld</t>
        </is>
      </c>
      <c r="B12" s="6" t="n"/>
      <c r="C12" s="5" t="inlineStr">
        <is>
          <t>m/min — welding speed</t>
        </is>
      </c>
    </row>
    <row r="13">
      <c r="A13" s="5" t="n"/>
      <c r="B13" s="5" t="n"/>
      <c r="C13" s="5" t="n"/>
    </row>
    <row r="14">
      <c r="A14" s="5" t="n"/>
      <c r="B14" s="5" t="n"/>
      <c r="C14" s="5" t="n"/>
    </row>
    <row r="15">
      <c r="A15" s="7" t="inlineStr">
        <is>
          <t>CALCULATED OUTPUTS</t>
        </is>
      </c>
      <c r="B15" s="8" t="n"/>
      <c r="C15" s="8" t="n"/>
      <c r="D15" s="3" t="n"/>
    </row>
    <row r="16">
      <c r="A16" s="4" t="inlineStr">
        <is>
          <t>Output</t>
        </is>
      </c>
      <c r="B16" s="4" t="inlineStr">
        <is>
          <t>Value</t>
        </is>
      </c>
      <c r="C16" s="4" t="inlineStr">
        <is>
          <t>Units / formula meaning</t>
        </is>
      </c>
    </row>
    <row r="17">
      <c r="A17" s="5" t="inlineStr">
        <is>
          <t>α1 — rear-bridge forming angle</t>
        </is>
      </c>
      <c r="B17" s="9">
        <f>DEGREES(ACOS(B5/(PI()*(B6-B7))))</f>
        <v/>
      </c>
      <c r="C17" s="5" t="inlineStr">
        <is>
          <t>degrees</t>
        </is>
      </c>
    </row>
    <row r="18">
      <c r="A18" s="5" t="inlineStr">
        <is>
          <t>α2 — inner forming-roll angle</t>
        </is>
      </c>
      <c r="B18" s="9">
        <f>DEGREES(ATAN(PI()*(B6-2*B7)*SIN(RADIANS(B17))/B5))</f>
        <v/>
      </c>
      <c r="C18" s="5" t="inlineStr">
        <is>
          <t>degrees</t>
        </is>
      </c>
    </row>
    <row r="19">
      <c r="A19" s="5" t="inlineStr">
        <is>
          <t>α3 — outer forming-roll angle</t>
        </is>
      </c>
      <c r="B19" s="9">
        <f>DEGREES(ATAN(PI()*B6*SIN(RADIANS(B17))/B5))</f>
        <v/>
      </c>
      <c r="C19" s="5" t="inlineStr">
        <is>
          <t>degrees</t>
        </is>
      </c>
    </row>
    <row r="20">
      <c r="A20" s="5" t="inlineStr">
        <is>
          <t>γ1 — roll No. 1 inclination</t>
        </is>
      </c>
      <c r="B20" s="9">
        <f>DEGREES(ACOS((B8-360+B6/2)/(175+B9+B6/2)))</f>
        <v/>
      </c>
      <c r="C20" s="5" t="inlineStr">
        <is>
          <t>degrees</t>
        </is>
      </c>
    </row>
    <row r="21">
      <c r="A21" s="5" t="inlineStr">
        <is>
          <t>γ3 — roll No. 3 inclination</t>
        </is>
      </c>
      <c r="B21" s="9">
        <f>DEGREES(ACOS((B8-389+B6/2)/(175+B9+B6/2)))</f>
        <v/>
      </c>
      <c r="C21" s="5" t="inlineStr">
        <is>
          <t>degrees</t>
        </is>
      </c>
    </row>
    <row r="22">
      <c r="A22" s="5" t="inlineStr">
        <is>
          <t>k1 — roll No. 1 opening</t>
        </is>
      </c>
      <c r="B22" s="9">
        <f>SIN(RADIANS(B20))*(175+B9+B6/2)-175</f>
        <v/>
      </c>
      <c r="C22" s="5" t="inlineStr">
        <is>
          <t>mm</t>
        </is>
      </c>
    </row>
    <row r="23">
      <c r="A23" s="5" t="inlineStr">
        <is>
          <t>k3 — roll No. 3 opening</t>
        </is>
      </c>
      <c r="B23" s="9">
        <f>SIN(RADIANS(B21))*(175+B9+B6/2)-175</f>
        <v/>
      </c>
      <c r="C23" s="5" t="inlineStr">
        <is>
          <t>mm</t>
        </is>
      </c>
    </row>
    <row r="24">
      <c r="A24" s="5" t="inlineStr">
        <is>
          <t>H1 — roll No. 1 upper surface height</t>
        </is>
      </c>
      <c r="B24" s="9">
        <f>B8+B6/2-COS(RADIANS(B20))*(B9+B6/2)+B9</f>
        <v/>
      </c>
      <c r="C24" s="5" t="inlineStr">
        <is>
          <t>mm</t>
        </is>
      </c>
    </row>
    <row r="25">
      <c r="A25" s="5" t="inlineStr">
        <is>
          <t>H2 — roll No. 2 lower surface height</t>
        </is>
      </c>
      <c r="B25" s="9">
        <f>B8+B7</f>
        <v/>
      </c>
      <c r="C25" s="5" t="inlineStr">
        <is>
          <t>mm</t>
        </is>
      </c>
    </row>
    <row r="26">
      <c r="A26" s="5" t="inlineStr">
        <is>
          <t>H3 — roll No. 3 surface height</t>
        </is>
      </c>
      <c r="B26" s="9">
        <f>B8+B6/2-COS(RADIANS(B21))*(B9+B6/2)+B9</f>
        <v/>
      </c>
      <c r="C26" s="5" t="inlineStr">
        <is>
          <t>mm</t>
        </is>
      </c>
    </row>
    <row r="27">
      <c r="A27" s="5" t="inlineStr">
        <is>
          <t>S — spiral pitch</t>
        </is>
      </c>
      <c r="B27" s="9">
        <f>B5/SIN(RADIANS(B17))</f>
        <v/>
      </c>
      <c r="C27" s="5" t="inlineStr">
        <is>
          <t>mm</t>
        </is>
      </c>
    </row>
    <row r="28">
      <c r="A28" s="5" t="inlineStr">
        <is>
          <t>Ls — spiral line length per pitch</t>
        </is>
      </c>
      <c r="B28" s="9">
        <f>PI()*(B6-B7)/SIN(RADIANS(B17))</f>
        <v/>
      </c>
      <c r="C28" s="5" t="inlineStr">
        <is>
          <t>mm</t>
        </is>
      </c>
    </row>
    <row r="29">
      <c r="A29" s="5" t="inlineStr">
        <is>
          <t>Lmax — maximum circumference</t>
        </is>
      </c>
      <c r="B29" s="9">
        <f>PI()*(B6+B10)</f>
        <v/>
      </c>
      <c r="C29" s="5" t="inlineStr">
        <is>
          <t>mm</t>
        </is>
      </c>
    </row>
    <row r="30">
      <c r="A30" s="5" t="inlineStr">
        <is>
          <t>L — nominal circumference</t>
        </is>
      </c>
      <c r="B30" s="9">
        <f>PI()*B6</f>
        <v/>
      </c>
      <c r="C30" s="5" t="inlineStr">
        <is>
          <t>mm</t>
        </is>
      </c>
    </row>
    <row r="31">
      <c r="A31" s="5" t="inlineStr">
        <is>
          <t>Lmin — minimum circumference</t>
        </is>
      </c>
      <c r="B31" s="9">
        <f>PI()*(B6+B11)</f>
        <v/>
      </c>
      <c r="C31" s="5" t="inlineStr">
        <is>
          <t>mm</t>
        </is>
      </c>
    </row>
    <row r="32">
      <c r="A32" s="5" t="inlineStr">
        <is>
          <t>Vout — pipe exit speed</t>
        </is>
      </c>
      <c r="B32" s="9">
        <f>B12*COS(RADIANS(B17))</f>
        <v/>
      </c>
      <c r="C32" s="5" t="inlineStr">
        <is>
          <t>m/min</t>
        </is>
      </c>
    </row>
    <row r="33">
      <c r="A33" s="5" t="inlineStr">
        <is>
          <t>Vrot — source-labelled rotation speed component</t>
        </is>
      </c>
      <c r="B33" s="9">
        <f>B12*SIN(RADIANS(B17))</f>
        <v/>
      </c>
      <c r="C33" s="5" t="inlineStr">
        <is>
          <t>m/min</t>
        </is>
      </c>
    </row>
    <row r="35">
      <c r="A35" s="10" t="inlineStr">
        <is>
          <t>Important notes</t>
        </is>
      </c>
    </row>
    <row r="36" ht="32" customHeight="1">
      <c r="A36" s="11" t="inlineStr">
        <is>
          <t>Yellow cells are editable inputs. H=590 mm and R=85 mm are source reference defaults.</t>
        </is>
      </c>
    </row>
    <row r="37" ht="32" customHeight="1">
      <c r="A37" s="11" t="inlineStr">
        <is>
          <t>Enter B, D, t, Δmax, Δmin and Vweld before using the outputs. Values must be physically valid.</t>
        </is>
      </c>
    </row>
    <row r="38" ht="32" customHeight="1">
      <c r="A38" s="11" t="inlineStr">
        <is>
          <t>ACOS arguments must be between -1 and 1; invalid geometry may return #NUM!.</t>
        </is>
      </c>
    </row>
    <row r="39" ht="32" customHeight="1">
      <c r="A39" s="11" t="inlineStr">
        <is>
          <t>Equations are transcribed from the supplied source PDF and have not been independently validated for machine operation.</t>
        </is>
      </c>
    </row>
  </sheetData>
  <autoFilter ref="A4:C12"/>
  <mergeCells count="5">
    <mergeCell ref="A1:D1"/>
    <mergeCell ref="A37:D37"/>
    <mergeCell ref="A38:D38"/>
    <mergeCell ref="A39:D39"/>
    <mergeCell ref="A36:D36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5" customWidth="1" min="2" max="2"/>
  </cols>
  <sheetData>
    <row r="1">
      <c r="A1" s="12" t="inlineStr">
        <is>
          <t>Source and transcription notes</t>
        </is>
      </c>
    </row>
    <row r="3" ht="44" customHeight="1">
      <c r="A3" s="13" t="inlineStr">
        <is>
          <t>Source</t>
        </is>
      </c>
      <c r="B3" s="14" t="inlineStr">
        <is>
          <t>Huayou φ508–φ2540 Pipe Forming Machine Parameter Calculations (Chinese PDF).</t>
        </is>
      </c>
    </row>
    <row r="4" ht="44" customHeight="1">
      <c r="A4" s="13" t="inlineStr">
        <is>
          <t>Purpose</t>
        </is>
      </c>
      <c r="B4" s="14" t="inlineStr">
        <is>
          <t>Excel transcription of the formulas supplied in the source document.</t>
        </is>
      </c>
    </row>
    <row r="5" ht="44" customHeight="1">
      <c r="A5" s="13" t="inlineStr">
        <is>
          <t>Angle handling</t>
        </is>
      </c>
      <c r="B5" s="14" t="inlineStr">
        <is>
          <t>The source presents angles in degrees. Excel trigonometric functions use radians; RADIANS() and DEGREES() are used where needed.</t>
        </is>
      </c>
    </row>
    <row r="6" ht="44" customHeight="1">
      <c r="A6" s="13" t="inlineStr">
        <is>
          <t>Constants</t>
        </is>
      </c>
      <c r="B6" s="14" t="inlineStr">
        <is>
          <t>The source gives H = 590 mm and forming-roll radius R = 85 mm as reference values; constants 360, 389 and 175 are retained.</t>
        </is>
      </c>
    </row>
    <row r="7" ht="44" customHeight="1">
      <c r="A7" s="13" t="inlineStr">
        <is>
          <t>Validation</t>
        </is>
      </c>
      <c r="B7" s="14" t="inlineStr">
        <is>
          <t>This workbook is a transcription aid, not a certified machine design tool. Validate against the original drawing, machine documentation and qualified engineering review before production use.</t>
        </is>
      </c>
    </row>
    <row r="8" ht="44" customHeight="1">
      <c r="A8" s="13" t="inlineStr">
        <is>
          <t>Version</t>
        </is>
      </c>
      <c r="B8" s="14" t="inlineStr">
        <is>
          <t>Initial formula workbook; no independent numerical validation has been performed.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2026-10-24T08:08:43Z</dcterms:created>
  <dcterms:modified xmlns:dcterms="http://purl.org/dc/terms/" xmlns:xsi="http://www.w3.org/2001/XMLSchema-instance" xsi:type="dcterms:W3CDTF">2026-10-24T08:08:43Z</dcterms:modified>
</cp:coreProperties>
</file>